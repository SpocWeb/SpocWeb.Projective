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_\_Matthias\Code\NET\_std\pga\ga\"/>
    </mc:Choice>
  </mc:AlternateContent>
  <xr:revisionPtr revIDLastSave="0" documentId="13_ncr:1_{5097E48B-4BCE-4D59-A213-6376089EA7C8}" xr6:coauthVersionLast="47" xr6:coauthVersionMax="47" xr10:uidLastSave="{00000000-0000-0000-0000-000000000000}"/>
  <bookViews>
    <workbookView xWindow="5088" yWindow="1968" windowWidth="17280" windowHeight="8964" tabRatio="278" xr2:uid="{DA1EA8D2-CAC8-4913-BB32-D10F1E56FA30}"/>
  </bookViews>
  <sheets>
    <sheet name="PGA2D" sheetId="4" r:id="rId1"/>
    <sheet name="GA2D" sheetId="3" r:id="rId2"/>
    <sheet name="GA3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4" l="1"/>
  <c r="F1" i="4"/>
  <c r="G1" i="4"/>
  <c r="D2" i="4"/>
  <c r="E2" i="4"/>
  <c r="F2" i="4"/>
  <c r="G2" i="4"/>
  <c r="H2" i="4"/>
  <c r="D3" i="4"/>
  <c r="F3" i="4"/>
  <c r="G3" i="4"/>
  <c r="D4" i="4"/>
  <c r="F4" i="4"/>
  <c r="G4" i="4"/>
  <c r="D5" i="4"/>
  <c r="E5" i="4"/>
  <c r="F5" i="4"/>
  <c r="G5" i="4"/>
  <c r="H5" i="4"/>
  <c r="D6" i="4"/>
  <c r="E6" i="4"/>
  <c r="F6" i="4"/>
  <c r="G6" i="4"/>
  <c r="H6" i="4"/>
  <c r="D7" i="4"/>
  <c r="F7" i="4"/>
  <c r="G7" i="4"/>
  <c r="D8" i="4"/>
  <c r="E8" i="4"/>
  <c r="F8" i="4"/>
  <c r="G8" i="4"/>
  <c r="H8" i="4"/>
  <c r="Z1" i="1" a="1"/>
  <c r="Z1" i="1" s="1"/>
  <c r="I8" i="1"/>
  <c r="M1" i="1" s="1" a="1"/>
  <c r="M1" i="1" s="1"/>
  <c r="F4" i="3"/>
  <c r="G3" i="3"/>
  <c r="G2" i="3"/>
  <c r="U5" i="3"/>
  <c r="F2" i="3"/>
  <c r="E4" i="3"/>
  <c r="E3" i="3"/>
  <c r="F1" i="3"/>
  <c r="E1" i="3"/>
  <c r="D3" i="3"/>
  <c r="F3" i="3"/>
  <c r="G4" i="3"/>
  <c r="D4" i="3"/>
  <c r="E2" i="3"/>
  <c r="D2" i="3"/>
  <c r="G1" i="3"/>
  <c r="D1" i="3"/>
  <c r="Y9" i="1"/>
  <c r="V10" i="1" a="1"/>
  <c r="V10" i="1" s="1"/>
  <c r="K8" i="1"/>
  <c r="K7" i="1"/>
  <c r="K6" i="1"/>
  <c r="K5" i="1"/>
  <c r="K4" i="1"/>
  <c r="K3" i="1"/>
  <c r="K2" i="1"/>
  <c r="J8" i="1"/>
  <c r="J7" i="1"/>
  <c r="J6" i="1"/>
  <c r="J5" i="1"/>
  <c r="J4" i="1"/>
  <c r="J3" i="1"/>
  <c r="J2" i="1"/>
  <c r="I7" i="1"/>
  <c r="I6" i="1"/>
  <c r="I5" i="1"/>
  <c r="I4" i="1"/>
  <c r="I3" i="1"/>
  <c r="I2" i="1"/>
  <c r="H8" i="1"/>
  <c r="H7" i="1"/>
  <c r="H6" i="1"/>
  <c r="H5" i="1"/>
  <c r="H4" i="1"/>
  <c r="H3" i="1"/>
  <c r="H2" i="1"/>
  <c r="G8" i="1"/>
  <c r="G7" i="1"/>
  <c r="G6" i="1"/>
  <c r="G5" i="1"/>
  <c r="G4" i="1"/>
  <c r="G3" i="1"/>
  <c r="G2" i="1"/>
  <c r="F8" i="1"/>
  <c r="F7" i="1"/>
  <c r="F6" i="1"/>
  <c r="F5" i="1"/>
  <c r="F4" i="1"/>
  <c r="F3" i="1"/>
  <c r="F2" i="1"/>
  <c r="E8" i="1"/>
  <c r="E7" i="1"/>
  <c r="E6" i="1"/>
  <c r="E5" i="1"/>
  <c r="E4" i="1"/>
  <c r="E3" i="1"/>
  <c r="E2" i="1"/>
  <c r="K1" i="1"/>
  <c r="J1" i="1"/>
  <c r="I1" i="1"/>
  <c r="H1" i="1"/>
  <c r="D5" i="1"/>
  <c r="D6" i="1"/>
  <c r="D7" i="1"/>
  <c r="D8" i="1"/>
  <c r="D4" i="1"/>
  <c r="D3" i="1"/>
  <c r="D2" i="1"/>
  <c r="G1" i="1"/>
  <c r="F1" i="1"/>
  <c r="E1" i="1"/>
  <c r="D1" i="1"/>
  <c r="J8" i="4" l="1"/>
  <c r="J6" i="4"/>
  <c r="K5" i="4"/>
  <c r="J5" i="4"/>
  <c r="I8" i="4"/>
  <c r="I5" i="4"/>
  <c r="J4" i="4"/>
  <c r="J2" i="4"/>
  <c r="K6" i="4"/>
  <c r="J1" i="4"/>
  <c r="V10" i="4" a="1"/>
  <c r="V10" i="4" s="1"/>
  <c r="I2" i="4"/>
  <c r="J3" i="4"/>
  <c r="K2" i="4"/>
  <c r="X1" i="1" a="1"/>
  <c r="M10" i="1" a="1"/>
  <c r="M10" i="1" s="1"/>
  <c r="R6" i="3" a="1"/>
  <c r="R6" i="3" s="1"/>
  <c r="I1" i="3" a="1"/>
  <c r="Y9" i="4" l="1"/>
  <c r="I6" i="4"/>
  <c r="M1" i="4" s="1" a="1"/>
  <c r="M1" i="4" s="1"/>
  <c r="X1" i="4" s="1" a="1"/>
  <c r="X1" i="4" s="1"/>
  <c r="K8" i="4"/>
  <c r="J7" i="4"/>
  <c r="X1" i="1"/>
  <c r="Y2" i="1"/>
  <c r="Y3" i="1"/>
  <c r="Y8" i="1"/>
  <c r="Y4" i="1"/>
  <c r="Y5" i="1"/>
  <c r="Y6" i="1"/>
  <c r="Y7" i="1"/>
  <c r="I1" i="3"/>
  <c r="J5" i="3"/>
  <c r="K5" i="3"/>
  <c r="L5" i="3"/>
  <c r="M10" i="4" l="1" a="1"/>
  <c r="M10" i="4" s="1"/>
  <c r="Y5" i="4"/>
  <c r="Y6" i="4"/>
  <c r="Y7" i="4"/>
  <c r="Y8" i="4"/>
  <c r="Y2" i="4"/>
  <c r="Y3" i="4"/>
  <c r="Y4" i="4"/>
  <c r="Z1" i="4" a="1"/>
  <c r="Z1" i="4" s="1"/>
  <c r="Y1" i="4"/>
  <c r="Y1" i="1"/>
  <c r="T1" i="3" a="1"/>
  <c r="P1" i="3" a="1"/>
  <c r="P1" i="3" s="1"/>
  <c r="I5" i="3"/>
  <c r="I6" i="3" a="1"/>
  <c r="I6" i="3" s="1"/>
  <c r="T1" i="3" l="1"/>
  <c r="U2" i="3"/>
  <c r="S3" i="3"/>
  <c r="U3" i="3"/>
  <c r="S2" i="3"/>
  <c r="S4" i="3"/>
  <c r="U4" i="3"/>
  <c r="S1" i="3" l="1"/>
  <c r="V1" i="3" a="1"/>
  <c r="V1" i="3" s="1"/>
  <c r="U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<sst xmlns="http://schemas.openxmlformats.org/spreadsheetml/2006/main" count="3" uniqueCount="2">
  <si>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Matrix from XR300.Times8</t>
  </si>
  <si>
    <t>Matrix from XR200.Times8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</si>
</sst>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166" fontId="0" fillId="0" borderId="9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4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FFB7-86AD-4221-B69F-ABCCD2A7D0F6}">
  <dimension ref="A1:AB17"/>
  <sheetViews>
    <sheetView tabSelected="1" topLeftCell="M1" workbookViewId="0">
      <selection activeCell="W14" sqref="W14"/>
    </sheetView>
  </sheetViews>
  <sheetFormatPr defaultRowHeight="14.4" x14ac:dyDescent="0.3"/>
  <cols>
    <col min="1" max="1" width="5.5546875" bestFit="1" customWidth="1"/>
    <col min="4" max="4" width="5.5546875" style="10" bestFit="1" customWidth="1"/>
    <col min="5" max="11" width="6.21875" style="10" bestFit="1" customWidth="1"/>
    <col min="12" max="12" width="2.77734375" customWidth="1"/>
    <col min="13" max="20" width="9.6640625" style="10" customWidth="1"/>
    <col min="24" max="25" width="10.21875" bestFit="1" customWidth="1"/>
  </cols>
  <sheetData>
    <row r="1" spans="1:28" x14ac:dyDescent="0.3">
      <c r="A1" s="26">
        <v>9.676535E-2</v>
      </c>
      <c r="D1" s="11">
        <f>A1</f>
        <v>9.676535E-2</v>
      </c>
      <c r="E1" s="12">
        <v>0</v>
      </c>
      <c r="F1" s="12">
        <f>A3</f>
        <v>0.58292999999999995</v>
      </c>
      <c r="G1" s="12">
        <f>A4</f>
        <v>0.32795999999999997</v>
      </c>
      <c r="H1" s="12">
        <v>0</v>
      </c>
      <c r="I1" s="12">
        <v>0</v>
      </c>
      <c r="J1" s="12">
        <f>-A7</f>
        <v>-0.65966999999999998</v>
      </c>
      <c r="K1" s="13">
        <v>0</v>
      </c>
      <c r="M1" s="34" cm="1">
        <f t="array" ref="M1:T8">MINVERSE(D1:K8)</f>
        <v>-34.107078273572945</v>
      </c>
      <c r="N1" s="35">
        <v>-6.06973222920989E-12</v>
      </c>
      <c r="O1" s="35">
        <v>205.46651396491524</v>
      </c>
      <c r="P1" s="35">
        <v>115.59672331312903</v>
      </c>
      <c r="Q1" s="35">
        <v>-5.6781366015189293E-12</v>
      </c>
      <c r="R1" s="35">
        <v>-4.352736015487986E-12</v>
      </c>
      <c r="S1" s="35">
        <v>-232.51521669426688</v>
      </c>
      <c r="T1" s="36">
        <v>3.7088624353422717E-12</v>
      </c>
      <c r="V1" s="20">
        <v>1</v>
      </c>
      <c r="X1" s="31" cm="1">
        <f t="array" ref="X1:X8">MMULT(M1:T8,V1:V8)</f>
        <v>-34.107078273572945</v>
      </c>
      <c r="Y1" s="44">
        <f>X1*Y$9</f>
        <v>-41.116499635205656</v>
      </c>
      <c r="Z1" s="23" cm="1">
        <f t="array" ref="Z1:Z8">MMULT(D1:K8,X1:X8)</f>
        <v>1</v>
      </c>
      <c r="AB1" s="10">
        <v>-1.16240995415848E-2</v>
      </c>
    </row>
    <row r="2" spans="1:28" x14ac:dyDescent="0.3">
      <c r="A2" s="27">
        <v>6.9433000000000003E-3</v>
      </c>
      <c r="D2" s="14">
        <f>A2</f>
        <v>6.9433000000000003E-3</v>
      </c>
      <c r="E2" s="15">
        <f>A1</f>
        <v>9.676535E-2</v>
      </c>
      <c r="F2" s="15">
        <f>-A5</f>
        <v>-0.94352999999999998</v>
      </c>
      <c r="G2" s="15">
        <f>A6</f>
        <v>0.86536999999999997</v>
      </c>
      <c r="H2" s="15">
        <f>A3</f>
        <v>0.58292999999999995</v>
      </c>
      <c r="I2" s="15">
        <f>-A4</f>
        <v>-0.32795999999999997</v>
      </c>
      <c r="J2" s="15">
        <f>-A8</f>
        <v>-0.65629000000000004</v>
      </c>
      <c r="K2" s="16">
        <f>-A7</f>
        <v>-0.65966999999999998</v>
      </c>
      <c r="M2" s="37">
        <v>123748.82300517925</v>
      </c>
      <c r="N2" s="38">
        <v>-34.10707827290468</v>
      </c>
      <c r="O2" s="38">
        <v>61188.891852184221</v>
      </c>
      <c r="P2" s="38">
        <v>-109045.83062062775</v>
      </c>
      <c r="Q2" s="38">
        <v>205.46651396099116</v>
      </c>
      <c r="R2" s="38">
        <v>-115.5967233109121</v>
      </c>
      <c r="S2" s="38">
        <v>-17920.723912660862</v>
      </c>
      <c r="T2" s="39">
        <v>-232.51521668981772</v>
      </c>
      <c r="V2" s="21">
        <v>0</v>
      </c>
      <c r="X2" s="32">
        <v>123748.82300517925</v>
      </c>
      <c r="Y2" s="44">
        <f t="shared" ref="Y2:Y8" si="0">X2*Y$9</f>
        <v>149180.71829952052</v>
      </c>
      <c r="Z2" s="24">
        <v>-1.8189894035458565E-12</v>
      </c>
      <c r="AB2" s="10">
        <v>3.9947609692206898E-2</v>
      </c>
    </row>
    <row r="3" spans="1:28" x14ac:dyDescent="0.3">
      <c r="A3" s="27">
        <v>0.58292999999999995</v>
      </c>
      <c r="D3" s="14">
        <f>A3</f>
        <v>0.58292999999999995</v>
      </c>
      <c r="E3" s="15">
        <v>0</v>
      </c>
      <c r="F3" s="15">
        <f>A1</f>
        <v>9.676535E-2</v>
      </c>
      <c r="G3" s="15">
        <f>-A7</f>
        <v>-0.65966999999999998</v>
      </c>
      <c r="H3" s="15">
        <v>0</v>
      </c>
      <c r="I3" s="15">
        <v>0</v>
      </c>
      <c r="J3" s="15">
        <f>A4</f>
        <v>0.32795999999999997</v>
      </c>
      <c r="K3" s="16">
        <v>0</v>
      </c>
      <c r="M3" s="37">
        <v>205.46651396282351</v>
      </c>
      <c r="N3" s="38">
        <v>1.7822255297979113E-12</v>
      </c>
      <c r="O3" s="38">
        <v>-34.107078272414419</v>
      </c>
      <c r="P3" s="38">
        <v>-232.51521669158831</v>
      </c>
      <c r="Q3" s="38">
        <v>1.073670010467591E-12</v>
      </c>
      <c r="R3" s="38">
        <v>1.50880645880927E-12</v>
      </c>
      <c r="S3" s="38">
        <v>115.59672331107905</v>
      </c>
      <c r="T3" s="39">
        <v>-4.4847396399966146E-13</v>
      </c>
      <c r="V3" s="21">
        <v>0</v>
      </c>
      <c r="X3" s="32">
        <v>205.46651396282351</v>
      </c>
      <c r="Y3" s="44">
        <f t="shared" si="0"/>
        <v>247.69239331019423</v>
      </c>
      <c r="Z3" s="24">
        <v>-1.0857093002414331E-11</v>
      </c>
      <c r="AB3" s="10">
        <v>3.2743942370661402E-2</v>
      </c>
    </row>
    <row r="4" spans="1:28" x14ac:dyDescent="0.3">
      <c r="A4" s="27">
        <v>0.32795999999999997</v>
      </c>
      <c r="D4" s="14">
        <f>A4</f>
        <v>0.32795999999999997</v>
      </c>
      <c r="E4" s="15">
        <v>0</v>
      </c>
      <c r="F4" s="15">
        <f>A7</f>
        <v>0.65966999999999998</v>
      </c>
      <c r="G4" s="15">
        <f>A1</f>
        <v>9.676535E-2</v>
      </c>
      <c r="H4" s="15">
        <v>0</v>
      </c>
      <c r="I4" s="15">
        <v>0</v>
      </c>
      <c r="J4" s="15">
        <f>-A3</f>
        <v>-0.58292999999999995</v>
      </c>
      <c r="K4" s="16">
        <v>0</v>
      </c>
      <c r="M4" s="37">
        <v>115.59672330783474</v>
      </c>
      <c r="N4" s="38">
        <v>-6.2950363209419425E-12</v>
      </c>
      <c r="O4" s="38">
        <v>232.51521669334633</v>
      </c>
      <c r="P4" s="38">
        <v>-34.107078268268467</v>
      </c>
      <c r="Q4" s="38">
        <v>-6.3355623058407108E-12</v>
      </c>
      <c r="R4" s="38">
        <v>-4.3768063690669301E-12</v>
      </c>
      <c r="S4" s="38">
        <v>-205.46651396596434</v>
      </c>
      <c r="T4" s="39">
        <v>4.3295260533517009E-12</v>
      </c>
      <c r="V4" s="21">
        <v>0</v>
      </c>
      <c r="X4" s="32">
        <v>115.59672330783474</v>
      </c>
      <c r="Y4" s="44">
        <f t="shared" si="0"/>
        <v>139.35326249860142</v>
      </c>
      <c r="Z4" s="24">
        <v>8.5265128291212022E-14</v>
      </c>
      <c r="AB4" s="10">
        <v>3.88015717092337E-2</v>
      </c>
    </row>
    <row r="5" spans="1:28" x14ac:dyDescent="0.3">
      <c r="A5" s="27">
        <v>0.94352999999999998</v>
      </c>
      <c r="D5" s="14">
        <f t="shared" ref="D5:D8" si="1">A5</f>
        <v>0.94352999999999998</v>
      </c>
      <c r="E5" s="15">
        <f>A3</f>
        <v>0.58292999999999995</v>
      </c>
      <c r="F5" s="15">
        <f>-A2</f>
        <v>-6.9433000000000003E-3</v>
      </c>
      <c r="G5" s="15">
        <f>A8</f>
        <v>0.65629000000000004</v>
      </c>
      <c r="H5" s="15">
        <f>A1</f>
        <v>9.676535E-2</v>
      </c>
      <c r="I5" s="15">
        <f>A7</f>
        <v>0.65966999999999998</v>
      </c>
      <c r="J5" s="15">
        <f>-A6</f>
        <v>-0.86536999999999997</v>
      </c>
      <c r="K5" s="16">
        <f>A4</f>
        <v>0.32795999999999997</v>
      </c>
      <c r="M5" s="37">
        <v>-61188.891850549182</v>
      </c>
      <c r="N5" s="38">
        <v>205.46651396594419</v>
      </c>
      <c r="O5" s="38">
        <v>-123748.82300706112</v>
      </c>
      <c r="P5" s="38">
        <v>17920.723910184279</v>
      </c>
      <c r="Q5" s="38">
        <v>-34.107078268239455</v>
      </c>
      <c r="R5" s="38">
        <v>232.51521669336285</v>
      </c>
      <c r="S5" s="38">
        <v>109045.8306232738</v>
      </c>
      <c r="T5" s="39">
        <v>115.59672330782038</v>
      </c>
      <c r="V5" s="21">
        <v>0</v>
      </c>
      <c r="X5" s="32">
        <v>-61188.891850549182</v>
      </c>
      <c r="Y5" s="44">
        <f t="shared" si="0"/>
        <v>-73763.956832418218</v>
      </c>
      <c r="Z5" s="24">
        <v>-7.2759576141834259E-12</v>
      </c>
      <c r="AB5" s="10">
        <v>-1.26064178127046E-2</v>
      </c>
    </row>
    <row r="6" spans="1:28" x14ac:dyDescent="0.3">
      <c r="A6" s="27">
        <v>0.86536999999999997</v>
      </c>
      <c r="D6" s="14">
        <f t="shared" si="1"/>
        <v>0.86536999999999997</v>
      </c>
      <c r="E6" s="15">
        <f>-A4</f>
        <v>-0.32795999999999997</v>
      </c>
      <c r="F6" s="15">
        <f>A8</f>
        <v>0.65629000000000004</v>
      </c>
      <c r="G6" s="15">
        <f>A2</f>
        <v>6.9433000000000003E-3</v>
      </c>
      <c r="H6" s="15">
        <f>-A7</f>
        <v>-0.65966999999999998</v>
      </c>
      <c r="I6" s="15">
        <f>A1</f>
        <v>9.676535E-2</v>
      </c>
      <c r="J6" s="15">
        <f>A5</f>
        <v>0.94352999999999998</v>
      </c>
      <c r="K6" s="16">
        <f>A3</f>
        <v>0.58292999999999995</v>
      </c>
      <c r="M6" s="37">
        <v>-109045.83062160278</v>
      </c>
      <c r="N6" s="38">
        <v>-115.59672331106998</v>
      </c>
      <c r="O6" s="38">
        <v>17920.723912395166</v>
      </c>
      <c r="P6" s="38">
        <v>123748.82300612176</v>
      </c>
      <c r="Q6" s="38">
        <v>-232.51521669160329</v>
      </c>
      <c r="R6" s="38">
        <v>-34.107078272410611</v>
      </c>
      <c r="S6" s="38">
        <v>-61188.891852274901</v>
      </c>
      <c r="T6" s="39">
        <v>205.46651396283269</v>
      </c>
      <c r="V6" s="21">
        <v>0</v>
      </c>
      <c r="X6" s="32">
        <v>-109045.83062160278</v>
      </c>
      <c r="Y6" s="44">
        <f t="shared" si="0"/>
        <v>-131456.08131576094</v>
      </c>
      <c r="Z6" s="24">
        <v>2.1827872842550278E-11</v>
      </c>
      <c r="AB6" s="10">
        <v>-2.42305173542894E-2</v>
      </c>
    </row>
    <row r="7" spans="1:28" x14ac:dyDescent="0.3">
      <c r="A7" s="27">
        <v>0.65966999999999998</v>
      </c>
      <c r="D7" s="14">
        <f t="shared" si="1"/>
        <v>0.65966999999999998</v>
      </c>
      <c r="E7" s="15">
        <v>0</v>
      </c>
      <c r="F7" s="15">
        <f>A4</f>
        <v>0.32795999999999997</v>
      </c>
      <c r="G7" s="15">
        <f>-A3</f>
        <v>-0.58292999999999995</v>
      </c>
      <c r="H7" s="15">
        <v>0</v>
      </c>
      <c r="I7" s="15">
        <v>0</v>
      </c>
      <c r="J7" s="15">
        <f>A1</f>
        <v>9.676535E-2</v>
      </c>
      <c r="K7" s="16">
        <v>0</v>
      </c>
      <c r="M7" s="37">
        <v>232.51521668980928</v>
      </c>
      <c r="N7" s="38">
        <v>-2.4410023372290987E-12</v>
      </c>
      <c r="O7" s="38">
        <v>115.5967233109067</v>
      </c>
      <c r="P7" s="38">
        <v>-205.46651396098156</v>
      </c>
      <c r="Q7" s="38">
        <v>-3.0307217014073093E-12</v>
      </c>
      <c r="R7" s="38">
        <v>-1.4793029869437956E-12</v>
      </c>
      <c r="S7" s="38">
        <v>-34.107078272918159</v>
      </c>
      <c r="T7" s="39">
        <v>2.3013578000343431E-12</v>
      </c>
      <c r="V7" s="21">
        <v>0</v>
      </c>
      <c r="X7" s="32">
        <v>232.51521668980928</v>
      </c>
      <c r="Y7" s="44">
        <f t="shared" si="0"/>
        <v>280.29993497314041</v>
      </c>
      <c r="Z7" s="24">
        <v>-1.1297629498585593E-12</v>
      </c>
      <c r="AB7" s="10">
        <v>-2.25933202357563E-2</v>
      </c>
    </row>
    <row r="8" spans="1:28" ht="15" thickBot="1" x14ac:dyDescent="0.35">
      <c r="A8" s="28">
        <v>0.65629000000000004</v>
      </c>
      <c r="D8" s="17">
        <f t="shared" si="1"/>
        <v>0.65629000000000004</v>
      </c>
      <c r="E8" s="18">
        <f>A7</f>
        <v>0.65966999999999998</v>
      </c>
      <c r="F8" s="18">
        <f>A6</f>
        <v>0.86536999999999997</v>
      </c>
      <c r="G8" s="18">
        <f>A5</f>
        <v>0.94352999999999998</v>
      </c>
      <c r="H8" s="18">
        <f>A4</f>
        <v>0.32795999999999997</v>
      </c>
      <c r="I8" s="18">
        <f>A3</f>
        <v>0.58292999999999995</v>
      </c>
      <c r="J8" s="18">
        <f>A2</f>
        <v>6.9433000000000003E-3</v>
      </c>
      <c r="K8" s="19">
        <f>A1</f>
        <v>9.676535E-2</v>
      </c>
      <c r="M8" s="40">
        <v>17920.723913011148</v>
      </c>
      <c r="N8" s="41">
        <v>232.51521669426495</v>
      </c>
      <c r="O8" s="41">
        <v>-109045.83062271967</v>
      </c>
      <c r="P8" s="41">
        <v>-61188.891853364999</v>
      </c>
      <c r="Q8" s="41">
        <v>115.59672331314754</v>
      </c>
      <c r="R8" s="41">
        <v>205.4665139649278</v>
      </c>
      <c r="S8" s="41">
        <v>123748.82300755574</v>
      </c>
      <c r="T8" s="42">
        <v>-34.10707827358565</v>
      </c>
      <c r="V8" s="22">
        <v>0</v>
      </c>
      <c r="X8" s="33">
        <v>17920.723913011148</v>
      </c>
      <c r="Y8" s="44">
        <f t="shared" si="0"/>
        <v>21603.651662032426</v>
      </c>
      <c r="Z8" s="25">
        <v>-1.7507773009128869E-11</v>
      </c>
      <c r="AB8" s="10">
        <v>-1.1460379829731501E-3</v>
      </c>
    </row>
    <row r="9" spans="1:28" ht="15" thickBot="1" x14ac:dyDescent="0.35">
      <c r="Y9">
        <f>A1*A1-A2*A2-A3*A3-A4*A4+A5*A5+A6*A6+A7*A7-A8*A8</f>
        <v>1.2055122196457324</v>
      </c>
    </row>
    <row r="10" spans="1:28" x14ac:dyDescent="0.3">
      <c r="D10" s="43" t="s">
        <v>0</v>
      </c>
      <c r="E10" s="43"/>
      <c r="F10" s="43"/>
      <c r="G10" s="43"/>
      <c r="H10" s="43"/>
      <c r="I10" s="43"/>
      <c r="J10" s="43"/>
      <c r="K10" s="43"/>
      <c r="M10" s="11" cm="1">
        <f t="array" ref="M10:T17">MMULT(D1:K8,M1:T8)</f>
        <v>1</v>
      </c>
      <c r="N10" s="12">
        <v>-2.6911354968788622E-15</v>
      </c>
      <c r="O10" s="12">
        <v>4.1211478674085811E-13</v>
      </c>
      <c r="P10" s="12">
        <v>-8.5265128291212022E-14</v>
      </c>
      <c r="Q10" s="12">
        <v>-2.1072454480766929E-15</v>
      </c>
      <c r="R10" s="12">
        <v>-1.2310903645894768E-15</v>
      </c>
      <c r="S10" s="12">
        <v>-1.0089706847793423E-12</v>
      </c>
      <c r="T10" s="13">
        <v>-7.6489166800647847E-16</v>
      </c>
      <c r="V10" cm="1">
        <f t="array" ref="V10">MMULT(D1:K1,D1:D8)</f>
        <v>2.1564170560622431E-2</v>
      </c>
    </row>
    <row r="11" spans="1:28" x14ac:dyDescent="0.3">
      <c r="M11" s="14">
        <v>-1.8189894035458565E-12</v>
      </c>
      <c r="N11" s="15">
        <v>0.99999999999997158</v>
      </c>
      <c r="O11" s="15">
        <v>-1.4551915228366852E-11</v>
      </c>
      <c r="P11" s="15">
        <v>0</v>
      </c>
      <c r="Q11" s="15">
        <v>0</v>
      </c>
      <c r="R11" s="15">
        <v>0</v>
      </c>
      <c r="S11" s="15">
        <v>1.4551915228366852E-11</v>
      </c>
      <c r="T11" s="16">
        <v>3.5527136788005009E-15</v>
      </c>
    </row>
    <row r="12" spans="1:28" x14ac:dyDescent="0.3">
      <c r="M12" s="14">
        <v>-1.0857093002414331E-11</v>
      </c>
      <c r="N12" s="15">
        <v>-1.3675847885374586E-14</v>
      </c>
      <c r="O12" s="15">
        <v>1.0000000000056559</v>
      </c>
      <c r="P12" s="15">
        <v>2.0065726857865229E-11</v>
      </c>
      <c r="Q12" s="15">
        <v>-2.0637217675628105E-14</v>
      </c>
      <c r="R12" s="15">
        <v>1.0755429444822741E-14</v>
      </c>
      <c r="S12" s="15">
        <v>2.1938006966593093E-12</v>
      </c>
      <c r="T12" s="16">
        <v>1.7305291826502015E-14</v>
      </c>
    </row>
    <row r="13" spans="1:28" x14ac:dyDescent="0.3">
      <c r="M13" s="14">
        <v>8.5265128291212022E-14</v>
      </c>
      <c r="N13" s="15">
        <v>-1.1565670675885527E-15</v>
      </c>
      <c r="O13" s="15">
        <v>6.3948846218409017E-13</v>
      </c>
      <c r="P13" s="15">
        <v>1.0000000000023448</v>
      </c>
      <c r="Q13" s="15">
        <v>-2.9808659911288479E-16</v>
      </c>
      <c r="R13" s="15">
        <v>6.5979430374274389E-15</v>
      </c>
      <c r="S13" s="15">
        <v>3.5029756872972939E-12</v>
      </c>
      <c r="T13" s="16">
        <v>-2.06869402412885E-15</v>
      </c>
    </row>
    <row r="14" spans="1:28" x14ac:dyDescent="0.3">
      <c r="M14" s="14">
        <v>-7.2759576141834259E-12</v>
      </c>
      <c r="N14" s="15">
        <v>0</v>
      </c>
      <c r="O14" s="15">
        <v>0</v>
      </c>
      <c r="P14" s="15">
        <v>-3.637978807091713E-12</v>
      </c>
      <c r="Q14" s="15">
        <v>1</v>
      </c>
      <c r="R14" s="15">
        <v>0</v>
      </c>
      <c r="S14" s="15">
        <v>0</v>
      </c>
      <c r="T14" s="16">
        <v>-3.5527136788005009E-15</v>
      </c>
    </row>
    <row r="15" spans="1:28" x14ac:dyDescent="0.3">
      <c r="M15" s="14">
        <v>2.1827872842550278E-11</v>
      </c>
      <c r="N15" s="15">
        <v>-2.8421709430404007E-14</v>
      </c>
      <c r="O15" s="15">
        <v>0</v>
      </c>
      <c r="P15" s="15">
        <v>0</v>
      </c>
      <c r="Q15" s="15">
        <v>1.4210854715202004E-14</v>
      </c>
      <c r="R15" s="15">
        <v>1</v>
      </c>
      <c r="S15" s="15">
        <v>1.4551915228366852E-11</v>
      </c>
      <c r="T15" s="16">
        <v>-3.1974423109204508E-14</v>
      </c>
    </row>
    <row r="16" spans="1:28" x14ac:dyDescent="0.3">
      <c r="M16" s="14">
        <v>-1.1297629498585593E-12</v>
      </c>
      <c r="N16" s="15">
        <v>1.3839502163530155E-14</v>
      </c>
      <c r="O16" s="15">
        <v>-4.7197801222864655E-12</v>
      </c>
      <c r="P16" s="15">
        <v>6.0111915445304476E-12</v>
      </c>
      <c r="Q16" s="15">
        <v>6.3449334634106872E-15</v>
      </c>
      <c r="R16" s="15">
        <v>3.1685264326651835E-14</v>
      </c>
      <c r="S16" s="15">
        <v>1.0000000000177316</v>
      </c>
      <c r="T16" s="16">
        <v>-1.5751677958462721E-15</v>
      </c>
    </row>
    <row r="17" spans="13:20" ht="15" thickBot="1" x14ac:dyDescent="0.35">
      <c r="M17" s="17">
        <v>-1.7507773009128869E-11</v>
      </c>
      <c r="N17" s="18">
        <v>0</v>
      </c>
      <c r="O17" s="18">
        <v>0</v>
      </c>
      <c r="P17" s="18">
        <v>-1.3642420526593924E-11</v>
      </c>
      <c r="Q17" s="18">
        <v>4.0856207306205761E-14</v>
      </c>
      <c r="R17" s="18">
        <v>3.5527136788005009E-15</v>
      </c>
      <c r="S17" s="18">
        <v>7.2759576141834259E-12</v>
      </c>
      <c r="T17" s="19">
        <v>1.0000000000000253</v>
      </c>
    </row>
  </sheetData>
  <mergeCells count="1">
    <mergeCell ref="D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652D-5DB1-40F1-AD0E-5962739C6628}">
  <dimension ref="A1:V13"/>
  <sheetViews>
    <sheetView workbookViewId="0">
      <selection activeCell="R6" sqref="R6"/>
    </sheetView>
  </sheetViews>
  <sheetFormatPr defaultRowHeight="14.4" x14ac:dyDescent="0.3"/>
  <cols>
    <col min="1" max="1" width="4.44140625" customWidth="1"/>
    <col min="3" max="3" width="12.5546875" customWidth="1"/>
    <col min="4" max="4" width="2.109375" bestFit="1" customWidth="1"/>
    <col min="5" max="5" width="2.44140625" bestFit="1" customWidth="1"/>
    <col min="6" max="7" width="2.6640625" bestFit="1" customWidth="1"/>
    <col min="8" max="8" width="2.77734375" customWidth="1"/>
    <col min="9" max="16" width="9.6640625" style="10" customWidth="1"/>
    <col min="21" max="21" width="9.21875" bestFit="1" customWidth="1"/>
  </cols>
  <sheetData>
    <row r="1" spans="1:22" x14ac:dyDescent="0.3">
      <c r="A1" s="20">
        <v>1</v>
      </c>
      <c r="D1" s="1">
        <f>A1</f>
        <v>1</v>
      </c>
      <c r="E1" s="2">
        <f>A2</f>
        <v>4</v>
      </c>
      <c r="F1" s="2">
        <f>A3</f>
        <v>3</v>
      </c>
      <c r="G1" s="3">
        <f>-A4</f>
        <v>-2</v>
      </c>
      <c r="I1" s="11" cm="1">
        <f t="array" ref="I1:L4">MINVERSE(D1:G4)</f>
        <v>-5.0000000000000017E-2</v>
      </c>
      <c r="J1" s="12">
        <v>0.2</v>
      </c>
      <c r="K1" s="12">
        <v>0.15000000000000002</v>
      </c>
      <c r="L1" s="12">
        <v>-0.1</v>
      </c>
      <c r="M1" s="12"/>
      <c r="N1" s="12"/>
      <c r="O1" s="12"/>
      <c r="P1" s="13" cm="1">
        <f t="array" ref="P1:P4">MMULT(_xlfn.ANCHORARRAY(I1),Q1:Q4)</f>
        <v>-1.1000000000000003</v>
      </c>
      <c r="Q1">
        <v>1</v>
      </c>
      <c r="R1" s="20">
        <v>1</v>
      </c>
      <c r="S1">
        <f>T1/T$4</f>
        <v>-0.50000000000000011</v>
      </c>
      <c r="T1" s="26" cm="1">
        <f t="array" ref="T1:T4">MMULT(I1:L4,R1:R4)</f>
        <v>-5.0000000000000017E-2</v>
      </c>
      <c r="U1" s="29">
        <f>T1*U$5</f>
        <v>1.0000000000000004</v>
      </c>
      <c r="V1" s="23" cm="1">
        <f t="array" ref="V1:V4">MMULT(D1:G4,T1:T4)</f>
        <v>1</v>
      </c>
    </row>
    <row r="2" spans="1:22" x14ac:dyDescent="0.3">
      <c r="A2" s="21">
        <v>4</v>
      </c>
      <c r="D2" s="4">
        <f t="shared" ref="D2:D4" si="0">A2</f>
        <v>4</v>
      </c>
      <c r="E2" s="5">
        <f>A1</f>
        <v>1</v>
      </c>
      <c r="F2" s="5">
        <f>-A4</f>
        <v>-2</v>
      </c>
      <c r="G2" s="6">
        <f>A3</f>
        <v>3</v>
      </c>
      <c r="I2" s="14">
        <v>0.2</v>
      </c>
      <c r="J2" s="15">
        <v>-5.0000000000000031E-2</v>
      </c>
      <c r="K2" s="15">
        <v>-0.1</v>
      </c>
      <c r="L2" s="15">
        <v>0.15</v>
      </c>
      <c r="M2" s="15"/>
      <c r="N2" s="15"/>
      <c r="O2" s="15"/>
      <c r="P2" s="16">
        <v>0.40000000000000019</v>
      </c>
      <c r="Q2">
        <v>-4</v>
      </c>
      <c r="R2" s="21">
        <v>0</v>
      </c>
      <c r="S2">
        <f>T2/T$4</f>
        <v>2</v>
      </c>
      <c r="T2" s="27">
        <v>0.2</v>
      </c>
      <c r="U2" s="29">
        <f>T2*U$5</f>
        <v>-4</v>
      </c>
      <c r="V2" s="24">
        <v>0</v>
      </c>
    </row>
    <row r="3" spans="1:22" x14ac:dyDescent="0.3">
      <c r="A3" s="21">
        <v>3</v>
      </c>
      <c r="D3" s="4">
        <f t="shared" si="0"/>
        <v>3</v>
      </c>
      <c r="E3" s="5">
        <f>A4</f>
        <v>2</v>
      </c>
      <c r="F3" s="5">
        <f>A1</f>
        <v>1</v>
      </c>
      <c r="G3" s="6">
        <f>-A2</f>
        <v>-4</v>
      </c>
      <c r="I3" s="14">
        <v>0.15</v>
      </c>
      <c r="J3" s="15">
        <v>0.1</v>
      </c>
      <c r="K3" s="15">
        <v>-0.05</v>
      </c>
      <c r="L3" s="15">
        <v>-0.2</v>
      </c>
      <c r="M3" s="15"/>
      <c r="N3" s="15"/>
      <c r="O3" s="15"/>
      <c r="P3" s="16">
        <v>0.30000000000000004</v>
      </c>
      <c r="Q3">
        <v>-3</v>
      </c>
      <c r="R3" s="21">
        <v>0</v>
      </c>
      <c r="S3">
        <f>T3/T$4</f>
        <v>1.4999999999999998</v>
      </c>
      <c r="T3" s="27">
        <v>0.15</v>
      </c>
      <c r="U3" s="29">
        <f>T3*U$5</f>
        <v>-3</v>
      </c>
      <c r="V3" s="24">
        <v>-5.5511151231257827E-17</v>
      </c>
    </row>
    <row r="4" spans="1:22" ht="15" thickBot="1" x14ac:dyDescent="0.35">
      <c r="A4" s="22">
        <v>2</v>
      </c>
      <c r="D4" s="7">
        <f t="shared" si="0"/>
        <v>2</v>
      </c>
      <c r="E4" s="8">
        <f>A3</f>
        <v>3</v>
      </c>
      <c r="F4" s="8">
        <f>-A2</f>
        <v>-4</v>
      </c>
      <c r="G4" s="9">
        <f>A1</f>
        <v>1</v>
      </c>
      <c r="I4" s="17">
        <v>0.1</v>
      </c>
      <c r="J4" s="18">
        <v>0.15</v>
      </c>
      <c r="K4" s="18">
        <v>-0.2</v>
      </c>
      <c r="L4" s="18">
        <v>-5.000000000000001E-2</v>
      </c>
      <c r="M4" s="18"/>
      <c r="N4" s="18"/>
      <c r="O4" s="18"/>
      <c r="P4" s="19">
        <v>0.20000000000000012</v>
      </c>
      <c r="Q4">
        <v>-2</v>
      </c>
      <c r="R4" s="22">
        <v>0</v>
      </c>
      <c r="S4">
        <f>T4/T$4</f>
        <v>1</v>
      </c>
      <c r="T4" s="28">
        <v>0.1</v>
      </c>
      <c r="U4" s="29">
        <f>T4*U$5</f>
        <v>-2</v>
      </c>
      <c r="V4" s="25">
        <v>2.7755575615628914E-17</v>
      </c>
    </row>
    <row r="5" spans="1:22" ht="15" thickBot="1" x14ac:dyDescent="0.35">
      <c r="I5" s="10">
        <f>I1*$U5</f>
        <v>1.0000000000000004</v>
      </c>
      <c r="J5" s="10">
        <f t="shared" ref="J5:L5" si="1">J1*$U5</f>
        <v>-4</v>
      </c>
      <c r="K5" s="10">
        <f t="shared" si="1"/>
        <v>-3.0000000000000004</v>
      </c>
      <c r="L5" s="10">
        <f t="shared" si="1"/>
        <v>2</v>
      </c>
      <c r="U5">
        <f>A1*A1-A2*A2-A3*A3+A4*A4</f>
        <v>-20</v>
      </c>
    </row>
    <row r="6" spans="1:22" x14ac:dyDescent="0.3">
      <c r="C6" s="30" t="s">
        <v>1</v>
      </c>
      <c r="D6" s="30"/>
      <c r="E6" s="30"/>
      <c r="F6" s="30"/>
      <c r="G6" s="30"/>
      <c r="I6" s="11" cm="1">
        <f t="array" ref="I6:L9">MMULT(D1:G4,I1:L4)</f>
        <v>1</v>
      </c>
      <c r="J6" s="12">
        <v>-5.5511151231257827E-17</v>
      </c>
      <c r="K6" s="12">
        <v>0</v>
      </c>
      <c r="L6" s="13">
        <v>-6.9388939039072284E-17</v>
      </c>
      <c r="M6" s="12"/>
      <c r="N6" s="12"/>
      <c r="O6" s="12"/>
      <c r="P6" s="13"/>
      <c r="R6" cm="1">
        <f t="array" ref="R6">MMULT(D1:G1,D1:D4)</f>
        <v>22</v>
      </c>
    </row>
    <row r="7" spans="1:22" x14ac:dyDescent="0.3">
      <c r="I7" s="14">
        <v>0</v>
      </c>
      <c r="J7" s="15">
        <v>1</v>
      </c>
      <c r="K7" s="15">
        <v>0</v>
      </c>
      <c r="L7" s="16">
        <v>0</v>
      </c>
      <c r="M7" s="15"/>
      <c r="N7" s="15"/>
      <c r="O7" s="15"/>
      <c r="P7" s="16"/>
    </row>
    <row r="8" spans="1:22" x14ac:dyDescent="0.3">
      <c r="I8" s="14">
        <v>-5.5511151231257827E-17</v>
      </c>
      <c r="J8" s="15">
        <v>0</v>
      </c>
      <c r="K8" s="15">
        <v>1</v>
      </c>
      <c r="L8" s="16">
        <v>-2.7755575615628914E-17</v>
      </c>
      <c r="M8" s="15"/>
      <c r="N8" s="15"/>
      <c r="O8" s="15"/>
      <c r="P8" s="16"/>
    </row>
    <row r="9" spans="1:22" ht="15" thickBot="1" x14ac:dyDescent="0.35">
      <c r="I9" s="17">
        <v>2.7755575615628914E-17</v>
      </c>
      <c r="J9" s="18">
        <v>-8.3266726846886741E-17</v>
      </c>
      <c r="K9" s="18">
        <v>0</v>
      </c>
      <c r="L9" s="19">
        <v>1</v>
      </c>
      <c r="M9" s="15"/>
      <c r="N9" s="15"/>
      <c r="O9" s="15"/>
      <c r="P9" s="16"/>
    </row>
    <row r="10" spans="1:22" x14ac:dyDescent="0.3">
      <c r="I10" s="14"/>
      <c r="J10" s="15"/>
      <c r="K10" s="15"/>
      <c r="L10" s="15"/>
      <c r="M10" s="15"/>
      <c r="N10" s="15"/>
      <c r="O10" s="15"/>
      <c r="P10" s="16"/>
    </row>
    <row r="11" spans="1:22" x14ac:dyDescent="0.3">
      <c r="I11" s="14"/>
      <c r="J11" s="15"/>
      <c r="K11" s="15"/>
      <c r="L11" s="15"/>
      <c r="M11" s="15"/>
      <c r="N11" s="15"/>
      <c r="O11" s="15"/>
      <c r="P11" s="16"/>
    </row>
    <row r="12" spans="1:22" x14ac:dyDescent="0.3">
      <c r="I12" s="14"/>
      <c r="J12" s="15"/>
      <c r="K12" s="15"/>
      <c r="L12" s="15"/>
      <c r="M12" s="15"/>
      <c r="N12" s="15"/>
      <c r="O12" s="15"/>
      <c r="P12" s="16"/>
    </row>
    <row r="13" spans="1:22" ht="15" thickBot="1" x14ac:dyDescent="0.35">
      <c r="I13" s="17"/>
      <c r="J13" s="18"/>
      <c r="K13" s="18"/>
      <c r="L13" s="18"/>
      <c r="M13" s="18"/>
      <c r="N13" s="18"/>
      <c r="O13" s="18"/>
      <c r="P13" s="19"/>
    </row>
  </sheetData>
  <mergeCells count="1">
    <mergeCell ref="C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A41E-49BB-4E03-870C-FDFCF4F3EF7A}">
  <dimension ref="A1:AB17"/>
  <sheetViews>
    <sheetView topLeftCell="O1" workbookViewId="0">
      <selection activeCell="AB1" sqref="AB1:AB8"/>
    </sheetView>
  </sheetViews>
  <sheetFormatPr defaultRowHeight="14.4" x14ac:dyDescent="0.3"/>
  <cols>
    <col min="1" max="1" width="4.44140625" customWidth="1"/>
    <col min="4" max="5" width="2.109375" bestFit="1" customWidth="1"/>
    <col min="6" max="11" width="2.44140625" bestFit="1" customWidth="1"/>
    <col min="12" max="12" width="2.77734375" customWidth="1"/>
    <col min="13" max="20" width="9.6640625" style="10" customWidth="1"/>
    <col min="25" max="25" width="9.21875" bestFit="1" customWidth="1"/>
  </cols>
  <sheetData>
    <row r="1" spans="1:28" x14ac:dyDescent="0.3">
      <c r="A1" s="20">
        <v>1</v>
      </c>
      <c r="D1" s="1">
        <f>A1</f>
        <v>1</v>
      </c>
      <c r="E1" s="2">
        <f>A2</f>
        <v>8</v>
      </c>
      <c r="F1" s="2">
        <f>A3</f>
        <v>7</v>
      </c>
      <c r="G1" s="2">
        <f>A4</f>
        <v>6</v>
      </c>
      <c r="H1" s="2">
        <f>-A5</f>
        <v>-5</v>
      </c>
      <c r="I1" s="2">
        <f>-A6</f>
        <v>-4</v>
      </c>
      <c r="J1" s="2">
        <f>-A7</f>
        <v>-3</v>
      </c>
      <c r="K1" s="3">
        <f>-A8</f>
        <v>-2</v>
      </c>
      <c r="M1" s="11" cm="1">
        <f t="array" ref="M1:T8">MINVERSE(D1:K8)</f>
        <v>-1.5580736543909342E-2</v>
      </c>
      <c r="N1" s="12">
        <v>7.554296506137867E-2</v>
      </c>
      <c r="O1" s="12">
        <v>4.1076487252124649E-2</v>
      </c>
      <c r="P1" s="12">
        <v>6.7044381491973559E-2</v>
      </c>
      <c r="Q1" s="12">
        <v>-1.7469310670443841E-2</v>
      </c>
      <c r="R1" s="12">
        <v>-5.8545797922568449E-2</v>
      </c>
      <c r="S1" s="12">
        <v>6.1378659112370018E-3</v>
      </c>
      <c r="T1" s="13">
        <v>1.2275731822474035E-2</v>
      </c>
      <c r="V1" s="20">
        <v>1</v>
      </c>
      <c r="X1" s="26" cm="1">
        <f t="array" ref="X1:X8">MMULT(M1:T8,V1:V8)</f>
        <v>-1.5580736543909342E-2</v>
      </c>
      <c r="Y1" s="29">
        <f>X1*Y$9</f>
        <v>1.5892351274787528</v>
      </c>
      <c r="Z1" s="23" cm="1">
        <f t="array" ref="Z1:Z8">MMULT(D1:K8,X1:X8)</f>
        <v>1</v>
      </c>
      <c r="AB1" s="10">
        <v>-1.16240995415848E-2</v>
      </c>
    </row>
    <row r="2" spans="1:28" x14ac:dyDescent="0.3">
      <c r="A2" s="21">
        <v>8</v>
      </c>
      <c r="D2" s="4">
        <f>A2</f>
        <v>8</v>
      </c>
      <c r="E2" s="5">
        <f>A1</f>
        <v>1</v>
      </c>
      <c r="F2" s="5">
        <f>-A5</f>
        <v>-5</v>
      </c>
      <c r="G2" s="5">
        <f>-A6</f>
        <v>-4</v>
      </c>
      <c r="H2" s="5">
        <f>A3</f>
        <v>7</v>
      </c>
      <c r="I2" s="5">
        <f>A4</f>
        <v>6</v>
      </c>
      <c r="J2" s="5">
        <f>-A8</f>
        <v>-2</v>
      </c>
      <c r="K2" s="6">
        <f>-A7</f>
        <v>-3</v>
      </c>
      <c r="M2" s="14">
        <v>7.5542965061378656E-2</v>
      </c>
      <c r="N2" s="15">
        <v>-1.5580736543909346E-2</v>
      </c>
      <c r="O2" s="15">
        <v>-1.7469310670443827E-2</v>
      </c>
      <c r="P2" s="15">
        <v>-5.8545797922568456E-2</v>
      </c>
      <c r="Q2" s="15">
        <v>4.1076487252124663E-2</v>
      </c>
      <c r="R2" s="15">
        <v>6.7044381491973531E-2</v>
      </c>
      <c r="S2" s="15">
        <v>1.2275731822474042E-2</v>
      </c>
      <c r="T2" s="16">
        <v>6.1378659112370122E-3</v>
      </c>
      <c r="V2" s="21">
        <v>0</v>
      </c>
      <c r="X2" s="27">
        <v>7.5542965061378656E-2</v>
      </c>
      <c r="Y2" s="29">
        <f t="shared" ref="Y2:Y8" si="0">X2*Y$9</f>
        <v>-7.7053824362606225</v>
      </c>
      <c r="Z2" s="24">
        <v>2.0816681711721685E-17</v>
      </c>
      <c r="AB2" s="10">
        <v>3.9947609692206898E-2</v>
      </c>
    </row>
    <row r="3" spans="1:28" x14ac:dyDescent="0.3">
      <c r="A3" s="21">
        <v>7</v>
      </c>
      <c r="D3" s="4">
        <f>A3</f>
        <v>7</v>
      </c>
      <c r="E3" s="5">
        <f>A5</f>
        <v>5</v>
      </c>
      <c r="F3" s="5">
        <f>A1</f>
        <v>1</v>
      </c>
      <c r="G3" s="5">
        <f>-A7</f>
        <v>-3</v>
      </c>
      <c r="H3" s="5">
        <f>-A2</f>
        <v>-8</v>
      </c>
      <c r="I3" s="5">
        <f>A8</f>
        <v>2</v>
      </c>
      <c r="J3" s="5">
        <f>A4</f>
        <v>6</v>
      </c>
      <c r="K3" s="6">
        <f>A6</f>
        <v>4</v>
      </c>
      <c r="M3" s="14">
        <v>4.1076487252124649E-2</v>
      </c>
      <c r="N3" s="15">
        <v>1.7469310670443813E-2</v>
      </c>
      <c r="O3" s="15">
        <v>-1.5580736543909327E-2</v>
      </c>
      <c r="P3" s="15">
        <v>6.1378659112370157E-3</v>
      </c>
      <c r="Q3" s="15">
        <v>-7.5542965061378684E-2</v>
      </c>
      <c r="R3" s="15">
        <v>-1.2275731822474026E-2</v>
      </c>
      <c r="S3" s="15">
        <v>6.7044381491973559E-2</v>
      </c>
      <c r="T3" s="16">
        <v>5.854579792256847E-2</v>
      </c>
      <c r="V3" s="21">
        <v>0</v>
      </c>
      <c r="X3" s="27">
        <v>4.1076487252124649E-2</v>
      </c>
      <c r="Y3" s="29">
        <f t="shared" si="0"/>
        <v>-4.189801699716714</v>
      </c>
      <c r="Z3" s="24">
        <v>-2.0816681711721685E-17</v>
      </c>
      <c r="AB3" s="10">
        <v>3.2743942370661402E-2</v>
      </c>
    </row>
    <row r="4" spans="1:28" x14ac:dyDescent="0.3">
      <c r="A4" s="21">
        <v>6</v>
      </c>
      <c r="D4" s="4">
        <f>A4</f>
        <v>6</v>
      </c>
      <c r="E4" s="5">
        <f>A6</f>
        <v>4</v>
      </c>
      <c r="F4" s="5">
        <f>A7</f>
        <v>3</v>
      </c>
      <c r="G4" s="5">
        <f>A1</f>
        <v>1</v>
      </c>
      <c r="H4" s="5">
        <f>-A8</f>
        <v>-2</v>
      </c>
      <c r="I4" s="5">
        <f>-A2</f>
        <v>-8</v>
      </c>
      <c r="J4" s="5">
        <f>-A3</f>
        <v>-7</v>
      </c>
      <c r="K4" s="6">
        <f>-A5</f>
        <v>-5</v>
      </c>
      <c r="M4" s="14">
        <v>6.7044381491973559E-2</v>
      </c>
      <c r="N4" s="15">
        <v>5.8545797922568463E-2</v>
      </c>
      <c r="O4" s="15">
        <v>-6.1378659112370226E-3</v>
      </c>
      <c r="P4" s="15">
        <v>-1.5580736543909346E-2</v>
      </c>
      <c r="Q4" s="15">
        <v>1.2275731822474035E-2</v>
      </c>
      <c r="R4" s="15">
        <v>-7.5542965061378642E-2</v>
      </c>
      <c r="S4" s="15">
        <v>-4.1076487252124656E-2</v>
      </c>
      <c r="T4" s="16">
        <v>-1.7469310670443824E-2</v>
      </c>
      <c r="V4" s="21">
        <v>0</v>
      </c>
      <c r="X4" s="27">
        <v>6.7044381491973559E-2</v>
      </c>
      <c r="Y4" s="29">
        <f t="shared" si="0"/>
        <v>-6.8385269121813028</v>
      </c>
      <c r="Z4" s="24">
        <v>1.0408340855860843E-16</v>
      </c>
      <c r="AB4" s="10">
        <v>3.88015717092337E-2</v>
      </c>
    </row>
    <row r="5" spans="1:28" x14ac:dyDescent="0.3">
      <c r="A5" s="21">
        <v>5</v>
      </c>
      <c r="D5" s="4">
        <f t="shared" ref="D5:D8" si="1">A5</f>
        <v>5</v>
      </c>
      <c r="E5" s="5">
        <f>A3</f>
        <v>7</v>
      </c>
      <c r="F5" s="5">
        <f>-A2</f>
        <v>-8</v>
      </c>
      <c r="G5" s="5">
        <f>A8</f>
        <v>2</v>
      </c>
      <c r="H5" s="5">
        <f>A1</f>
        <v>1</v>
      </c>
      <c r="I5" s="5">
        <f>-A7</f>
        <v>-3</v>
      </c>
      <c r="J5" s="5">
        <f>A6</f>
        <v>4</v>
      </c>
      <c r="K5" s="6">
        <f>A4</f>
        <v>6</v>
      </c>
      <c r="M5" s="14">
        <v>1.7469310670443813E-2</v>
      </c>
      <c r="N5" s="15">
        <v>4.1076487252124649E-2</v>
      </c>
      <c r="O5" s="15">
        <v>-7.5542965061378656E-2</v>
      </c>
      <c r="P5" s="15">
        <v>-1.2275731822474028E-2</v>
      </c>
      <c r="Q5" s="15">
        <v>-1.5580736543909355E-2</v>
      </c>
      <c r="R5" s="15">
        <v>6.1378659112370183E-3</v>
      </c>
      <c r="S5" s="15">
        <v>5.854579792256847E-2</v>
      </c>
      <c r="T5" s="16">
        <v>6.7044381491973559E-2</v>
      </c>
      <c r="V5" s="21">
        <v>0</v>
      </c>
      <c r="X5" s="27">
        <v>1.7469310670443813E-2</v>
      </c>
      <c r="Y5" s="29">
        <f t="shared" si="0"/>
        <v>-1.7818696883852689</v>
      </c>
      <c r="Z5" s="24">
        <v>-9.7144514654701197E-17</v>
      </c>
      <c r="AB5" s="10">
        <v>-1.26064178127046E-2</v>
      </c>
    </row>
    <row r="6" spans="1:28" x14ac:dyDescent="0.3">
      <c r="A6" s="21">
        <v>4</v>
      </c>
      <c r="D6" s="4">
        <f t="shared" si="1"/>
        <v>4</v>
      </c>
      <c r="E6" s="5">
        <f>A4</f>
        <v>6</v>
      </c>
      <c r="F6" s="5">
        <f>-A8</f>
        <v>-2</v>
      </c>
      <c r="G6" s="5">
        <f>-A2</f>
        <v>-8</v>
      </c>
      <c r="H6" s="5">
        <f>A7</f>
        <v>3</v>
      </c>
      <c r="I6" s="5">
        <f>A1</f>
        <v>1</v>
      </c>
      <c r="J6" s="5">
        <f>-A5</f>
        <v>-5</v>
      </c>
      <c r="K6" s="6">
        <f>-A3</f>
        <v>-7</v>
      </c>
      <c r="M6" s="14">
        <v>5.8545797922568456E-2</v>
      </c>
      <c r="N6" s="15">
        <v>6.7044381491973559E-2</v>
      </c>
      <c r="O6" s="15">
        <v>1.2275731822474024E-2</v>
      </c>
      <c r="P6" s="15">
        <v>-7.5542965061378656E-2</v>
      </c>
      <c r="Q6" s="15">
        <v>-6.1378659112370096E-3</v>
      </c>
      <c r="R6" s="15">
        <v>-1.5580736543909353E-2</v>
      </c>
      <c r="S6" s="15">
        <v>-1.7469310670443817E-2</v>
      </c>
      <c r="T6" s="16">
        <v>-4.1076487252124649E-2</v>
      </c>
      <c r="V6" s="21">
        <v>0</v>
      </c>
      <c r="X6" s="27">
        <v>5.8545797922568456E-2</v>
      </c>
      <c r="Y6" s="29">
        <f t="shared" si="0"/>
        <v>-5.9716713881019823</v>
      </c>
      <c r="Z6" s="24">
        <v>1.3877787807814457E-17</v>
      </c>
      <c r="AB6" s="10">
        <v>-2.42305173542894E-2</v>
      </c>
    </row>
    <row r="7" spans="1:28" x14ac:dyDescent="0.3">
      <c r="A7" s="21">
        <v>3</v>
      </c>
      <c r="D7" s="4">
        <f t="shared" si="1"/>
        <v>3</v>
      </c>
      <c r="E7" s="5">
        <f>A8</f>
        <v>2</v>
      </c>
      <c r="F7" s="5">
        <f>A4</f>
        <v>6</v>
      </c>
      <c r="G7" s="5">
        <f>-A3</f>
        <v>-7</v>
      </c>
      <c r="H7" s="5">
        <f>-A6</f>
        <v>-4</v>
      </c>
      <c r="I7" s="5">
        <f>A5</f>
        <v>5</v>
      </c>
      <c r="J7" s="5">
        <f>A1</f>
        <v>1</v>
      </c>
      <c r="K7" s="6">
        <f>A2</f>
        <v>8</v>
      </c>
      <c r="M7" s="14">
        <v>-6.1378659112370148E-3</v>
      </c>
      <c r="N7" s="15">
        <v>-1.2275731822474024E-2</v>
      </c>
      <c r="O7" s="15">
        <v>6.7044381491973559E-2</v>
      </c>
      <c r="P7" s="15">
        <v>-4.1076487252124642E-2</v>
      </c>
      <c r="Q7" s="15">
        <v>-5.8545797922568463E-2</v>
      </c>
      <c r="R7" s="15">
        <v>1.7469310670443813E-2</v>
      </c>
      <c r="S7" s="15">
        <v>-1.5580736543909348E-2</v>
      </c>
      <c r="T7" s="16">
        <v>7.5542965061378656E-2</v>
      </c>
      <c r="V7" s="21">
        <v>0</v>
      </c>
      <c r="X7" s="27">
        <v>-6.1378659112370148E-3</v>
      </c>
      <c r="Y7" s="29">
        <f t="shared" si="0"/>
        <v>0.62606232294617548</v>
      </c>
      <c r="Z7" s="24">
        <v>-1.3877787807814457E-17</v>
      </c>
      <c r="AB7" s="10">
        <v>-2.25933202357563E-2</v>
      </c>
    </row>
    <row r="8" spans="1:28" ht="15" thickBot="1" x14ac:dyDescent="0.35">
      <c r="A8" s="22">
        <v>2</v>
      </c>
      <c r="D8" s="7">
        <f t="shared" si="1"/>
        <v>2</v>
      </c>
      <c r="E8" s="8">
        <f>A7</f>
        <v>3</v>
      </c>
      <c r="F8" s="8">
        <f>-A6</f>
        <v>-4</v>
      </c>
      <c r="G8" s="8">
        <f>A5</f>
        <v>5</v>
      </c>
      <c r="H8" s="8">
        <f>A4</f>
        <v>6</v>
      </c>
      <c r="I8" s="8">
        <f>-A3</f>
        <v>-7</v>
      </c>
      <c r="J8" s="8">
        <f>A2</f>
        <v>8</v>
      </c>
      <c r="K8" s="9">
        <f>A1</f>
        <v>1</v>
      </c>
      <c r="M8" s="17">
        <v>-1.2275731822474038E-2</v>
      </c>
      <c r="N8" s="18">
        <v>-6.1378659112370235E-3</v>
      </c>
      <c r="O8" s="18">
        <v>-5.8545797922568449E-2</v>
      </c>
      <c r="P8" s="18">
        <v>1.7469310670443813E-2</v>
      </c>
      <c r="Q8" s="18">
        <v>6.7044381491973545E-2</v>
      </c>
      <c r="R8" s="18">
        <v>-4.1076487252124642E-2</v>
      </c>
      <c r="S8" s="18">
        <v>7.5542965061378656E-2</v>
      </c>
      <c r="T8" s="19">
        <v>-1.5580736543909344E-2</v>
      </c>
      <c r="V8" s="22">
        <v>0</v>
      </c>
      <c r="X8" s="28">
        <v>-1.2275731822474038E-2</v>
      </c>
      <c r="Y8" s="29">
        <f t="shared" si="0"/>
        <v>1.2521246458923518</v>
      </c>
      <c r="Z8" s="25">
        <v>1.3877787807814457E-17</v>
      </c>
      <c r="AB8" s="10">
        <v>-1.1460379829731501E-3</v>
      </c>
    </row>
    <row r="9" spans="1:28" ht="15" thickBot="1" x14ac:dyDescent="0.35">
      <c r="Y9">
        <f>A1*A1-A2*A2-A3*A3-A4*A4+A5*A5+A6*A6+A7*A7-A8*A8</f>
        <v>-102</v>
      </c>
    </row>
    <row r="10" spans="1:28" x14ac:dyDescent="0.3">
      <c r="D10" s="30" t="s">
        <v>0</v>
      </c>
      <c r="E10" s="30"/>
      <c r="F10" s="30"/>
      <c r="G10" s="30"/>
      <c r="H10" s="30"/>
      <c r="I10" s="30"/>
      <c r="J10" s="30"/>
      <c r="K10" s="30"/>
      <c r="M10" s="11" cm="1">
        <f t="array" ref="M10:T17">MMULT(D1:K8,M1:T8)</f>
        <v>1</v>
      </c>
      <c r="N10" s="12">
        <v>-5.2041704279304213E-18</v>
      </c>
      <c r="O10" s="12">
        <v>0</v>
      </c>
      <c r="P10" s="12">
        <v>5.5511151231257827E-17</v>
      </c>
      <c r="Q10" s="12">
        <v>2.7755575615628914E-17</v>
      </c>
      <c r="R10" s="12">
        <v>0</v>
      </c>
      <c r="S10" s="12">
        <v>0</v>
      </c>
      <c r="T10" s="13">
        <v>-3.4694469519536142E-18</v>
      </c>
      <c r="V10" cm="1">
        <f t="array" ref="V10">MMULT(D1:K1,D1:D8)</f>
        <v>96</v>
      </c>
    </row>
    <row r="11" spans="1:28" x14ac:dyDescent="0.3">
      <c r="M11" s="14">
        <v>2.0816681711721685E-17</v>
      </c>
      <c r="N11" s="15">
        <v>1.0000000000000002</v>
      </c>
      <c r="O11" s="15">
        <v>-8.3266726846886741E-17</v>
      </c>
      <c r="P11" s="15">
        <v>2.7755575615628914E-17</v>
      </c>
      <c r="Q11" s="15">
        <v>0</v>
      </c>
      <c r="R11" s="15">
        <v>-4.163336342344337E-17</v>
      </c>
      <c r="S11" s="15">
        <v>-5.5511151231257827E-17</v>
      </c>
      <c r="T11" s="16">
        <v>2.0816681711721685E-17</v>
      </c>
    </row>
    <row r="12" spans="1:28" x14ac:dyDescent="0.3">
      <c r="M12" s="14">
        <v>-2.0816681711721685E-17</v>
      </c>
      <c r="N12" s="15">
        <v>6.591949208711867E-17</v>
      </c>
      <c r="O12" s="15">
        <v>0.99999999999999989</v>
      </c>
      <c r="P12" s="15">
        <v>2.7755575615628914E-17</v>
      </c>
      <c r="Q12" s="15">
        <v>-1.1102230246251565E-16</v>
      </c>
      <c r="R12" s="15">
        <v>-1.3877787807814457E-16</v>
      </c>
      <c r="S12" s="15">
        <v>-1.1102230246251565E-16</v>
      </c>
      <c r="T12" s="16">
        <v>6.2450045135165055E-17</v>
      </c>
    </row>
    <row r="13" spans="1:28" x14ac:dyDescent="0.3">
      <c r="M13" s="14">
        <v>1.0408340855860843E-16</v>
      </c>
      <c r="N13" s="15">
        <v>5.8980598183211441E-17</v>
      </c>
      <c r="O13" s="15">
        <v>0</v>
      </c>
      <c r="P13" s="15">
        <v>1</v>
      </c>
      <c r="Q13" s="15">
        <v>-1.1102230246251565E-16</v>
      </c>
      <c r="R13" s="15">
        <v>2.7755575615628914E-17</v>
      </c>
      <c r="S13" s="15">
        <v>-1.1102230246251565E-16</v>
      </c>
      <c r="T13" s="16">
        <v>9.7144514654701197E-17</v>
      </c>
    </row>
    <row r="14" spans="1:28" x14ac:dyDescent="0.3">
      <c r="M14" s="14">
        <v>-9.7144514654701197E-17</v>
      </c>
      <c r="N14" s="15">
        <v>1.3183898417423734E-16</v>
      </c>
      <c r="O14" s="15">
        <v>-1.6653345369377348E-16</v>
      </c>
      <c r="P14" s="15">
        <v>8.3266726846886741E-17</v>
      </c>
      <c r="Q14" s="15">
        <v>1</v>
      </c>
      <c r="R14" s="15">
        <v>-1.1102230246251565E-16</v>
      </c>
      <c r="S14" s="15">
        <v>0</v>
      </c>
      <c r="T14" s="16">
        <v>-9.7144514654701197E-17</v>
      </c>
    </row>
    <row r="15" spans="1:28" x14ac:dyDescent="0.3">
      <c r="M15" s="14">
        <v>1.3877787807814457E-17</v>
      </c>
      <c r="N15" s="15">
        <v>4.163336342344337E-17</v>
      </c>
      <c r="O15" s="15">
        <v>-1.1102230246251565E-16</v>
      </c>
      <c r="P15" s="15">
        <v>1.3877787807814457E-17</v>
      </c>
      <c r="Q15" s="15">
        <v>1.1102230246251565E-16</v>
      </c>
      <c r="R15" s="15">
        <v>0.99999999999999978</v>
      </c>
      <c r="S15" s="15">
        <v>2.2204460492503131E-16</v>
      </c>
      <c r="T15" s="16">
        <v>4.163336342344337E-17</v>
      </c>
    </row>
    <row r="16" spans="1:28" x14ac:dyDescent="0.3">
      <c r="M16" s="14">
        <v>-1.3877787807814457E-17</v>
      </c>
      <c r="N16" s="15">
        <v>-4.163336342344337E-17</v>
      </c>
      <c r="O16" s="15">
        <v>1.6653345369377348E-16</v>
      </c>
      <c r="P16" s="15">
        <v>0</v>
      </c>
      <c r="Q16" s="15">
        <v>-1.1102230246251565E-16</v>
      </c>
      <c r="R16" s="15">
        <v>0</v>
      </c>
      <c r="S16" s="15">
        <v>0.99999999999999989</v>
      </c>
      <c r="T16" s="16">
        <v>8.3266726846886741E-17</v>
      </c>
    </row>
    <row r="17" spans="13:20" ht="15" thickBot="1" x14ac:dyDescent="0.35">
      <c r="M17" s="17">
        <v>1.3877787807814457E-17</v>
      </c>
      <c r="N17" s="18">
        <v>1.3791051634015616E-16</v>
      </c>
      <c r="O17" s="18">
        <v>-1.3877787807814457E-16</v>
      </c>
      <c r="P17" s="18">
        <v>-1.3877787807814457E-17</v>
      </c>
      <c r="Q17" s="18">
        <v>-1.3877787807814457E-17</v>
      </c>
      <c r="R17" s="18">
        <v>3.4694469519536142E-17</v>
      </c>
      <c r="S17" s="18">
        <v>-1.3877787807814457E-17</v>
      </c>
      <c r="T17" s="19">
        <v>1</v>
      </c>
    </row>
  </sheetData>
  <mergeCells count="1">
    <mergeCell ref="D10:K10"/>
  </mergeCells>
  <pageMargins left="0.7" right="0.7" top="0.75" bottom="0.75" header="0.3" footer="0.3"/>
  <ignoredErrors>
    <ignoredError sqref="I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PGA2D</vt:lpstr>
      <vt:lpstr>GA2D</vt:lpstr>
      <vt:lpstr>GA3D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Heuer, Matthias</dc:creator>
  <cp:lastModifiedBy>Heuer, Matthias</cp:lastModifiedBy>
  <dcterms:created xsi:type="dcterms:W3CDTF">2021-10-31T17:58:32Z</dcterms:created>
  <dcterms:modified xsi:type="dcterms:W3CDTF">2021-11-06T11:36:26Z</dcterms:modified>
</cp:coreProperties>
</file>